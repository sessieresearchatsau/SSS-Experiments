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rrcharles/Documents/Charles/Projects/Caviness Concatenation/"/>
    </mc:Choice>
  </mc:AlternateContent>
  <xr:revisionPtr revIDLastSave="0" documentId="13_ncr:1_{3B75942A-2CA2-9F4F-AB0F-A6B5694A70C6}" xr6:coauthVersionLast="47" xr6:coauthVersionMax="47" xr10:uidLastSave="{00000000-0000-0000-0000-000000000000}"/>
  <bookViews>
    <workbookView xWindow="1080" yWindow="660" windowWidth="34360" windowHeight="21580" activeTab="2" xr2:uid="{1A88259D-1298-EF41-AF73-9781CBBB622D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3" l="1"/>
  <c r="E43" i="3"/>
  <c r="F43" i="3"/>
  <c r="G43" i="3"/>
  <c r="H43" i="3"/>
  <c r="I43" i="3"/>
  <c r="J43" i="3"/>
  <c r="K43" i="3"/>
  <c r="L43" i="3"/>
  <c r="M43" i="3"/>
  <c r="N43" i="3"/>
  <c r="C43" i="3"/>
  <c r="N36" i="3"/>
  <c r="N28" i="3"/>
  <c r="N30" i="3" s="1"/>
  <c r="N31" i="3" s="1"/>
  <c r="M28" i="3"/>
  <c r="M30" i="3" s="1"/>
  <c r="M31" i="3" s="1"/>
  <c r="M36" i="3" s="1"/>
  <c r="L28" i="3"/>
  <c r="L30" i="3" s="1"/>
  <c r="K28" i="3"/>
  <c r="K30" i="3" s="1"/>
  <c r="K31" i="3" s="1"/>
  <c r="K36" i="3" s="1"/>
  <c r="J28" i="3"/>
  <c r="I28" i="3"/>
  <c r="H28" i="3"/>
  <c r="H30" i="3" s="1"/>
  <c r="G28" i="3"/>
  <c r="G30" i="3" s="1"/>
  <c r="F28" i="3"/>
  <c r="F30" i="3" s="1"/>
  <c r="E28" i="3"/>
  <c r="D28" i="3"/>
  <c r="C30" i="3" s="1"/>
  <c r="N9" i="3"/>
  <c r="B9" i="3"/>
  <c r="P2" i="3"/>
  <c r="P3" i="3" s="1"/>
  <c r="O2" i="3"/>
  <c r="O3" i="3" s="1"/>
  <c r="N2" i="3"/>
  <c r="N3" i="3" s="1"/>
  <c r="M2" i="3"/>
  <c r="M3" i="3" s="1"/>
  <c r="L2" i="3"/>
  <c r="L3" i="3" s="1"/>
  <c r="K2" i="3"/>
  <c r="K3" i="3" s="1"/>
  <c r="J2" i="3"/>
  <c r="J3" i="3" s="1"/>
  <c r="I2" i="3"/>
  <c r="I3" i="3" s="1"/>
  <c r="H2" i="3"/>
  <c r="H3" i="3" s="1"/>
  <c r="G2" i="3"/>
  <c r="G3" i="3" s="1"/>
  <c r="F2" i="3"/>
  <c r="F3" i="3" s="1"/>
  <c r="E2" i="3"/>
  <c r="E3" i="3" s="1"/>
  <c r="D2" i="3"/>
  <c r="D3" i="3" s="1"/>
  <c r="C2" i="3"/>
  <c r="C3" i="3" s="1"/>
  <c r="B2" i="3"/>
  <c r="B3" i="3" s="1"/>
  <c r="G68" i="2"/>
  <c r="H68" i="2"/>
  <c r="I68" i="2"/>
  <c r="J68" i="2"/>
  <c r="K68" i="2"/>
  <c r="L68" i="2"/>
  <c r="M68" i="2"/>
  <c r="N68" i="2"/>
  <c r="G67" i="2"/>
  <c r="H67" i="2"/>
  <c r="I67" i="2"/>
  <c r="J67" i="2"/>
  <c r="K67" i="2"/>
  <c r="L67" i="2"/>
  <c r="M67" i="2"/>
  <c r="N67" i="2"/>
  <c r="G66" i="2"/>
  <c r="H66" i="2"/>
  <c r="I66" i="2"/>
  <c r="J66" i="2"/>
  <c r="K66" i="2"/>
  <c r="L66" i="2"/>
  <c r="M66" i="2"/>
  <c r="N66" i="2"/>
  <c r="D62" i="2"/>
  <c r="E62" i="2"/>
  <c r="F62" i="2"/>
  <c r="C62" i="2"/>
  <c r="C57" i="2"/>
  <c r="D57" i="2"/>
  <c r="E57" i="2"/>
  <c r="F57" i="2"/>
  <c r="G57" i="2"/>
  <c r="H57" i="2"/>
  <c r="I57" i="2"/>
  <c r="J57" i="2"/>
  <c r="K57" i="2"/>
  <c r="L57" i="2"/>
  <c r="M57" i="2"/>
  <c r="N57" i="2"/>
  <c r="C43" i="2"/>
  <c r="D43" i="2"/>
  <c r="E43" i="2"/>
  <c r="F43" i="2"/>
  <c r="G43" i="2"/>
  <c r="H43" i="2"/>
  <c r="I43" i="2"/>
  <c r="J43" i="2"/>
  <c r="K43" i="2"/>
  <c r="L43" i="2"/>
  <c r="M43" i="2"/>
  <c r="N43" i="2"/>
  <c r="M28" i="2"/>
  <c r="N28" i="2"/>
  <c r="K28" i="2"/>
  <c r="L28" i="2"/>
  <c r="E28" i="2"/>
  <c r="F28" i="2"/>
  <c r="G28" i="2"/>
  <c r="H28" i="2"/>
  <c r="I28" i="2"/>
  <c r="J28" i="2"/>
  <c r="D28" i="2"/>
  <c r="B9" i="2"/>
  <c r="N9" i="2"/>
  <c r="C2" i="2"/>
  <c r="C3" i="2" s="1"/>
  <c r="D2" i="2"/>
  <c r="D3" i="2" s="1"/>
  <c r="E2" i="2"/>
  <c r="E3" i="2" s="1"/>
  <c r="F2" i="2"/>
  <c r="F3" i="2" s="1"/>
  <c r="G2" i="2"/>
  <c r="G3" i="2" s="1"/>
  <c r="H2" i="2"/>
  <c r="H3" i="2" s="1"/>
  <c r="I2" i="2"/>
  <c r="I3" i="2" s="1"/>
  <c r="J2" i="2"/>
  <c r="J3" i="2" s="1"/>
  <c r="K2" i="2"/>
  <c r="K3" i="2" s="1"/>
  <c r="L2" i="2"/>
  <c r="L3" i="2" s="1"/>
  <c r="M2" i="2"/>
  <c r="M3" i="2" s="1"/>
  <c r="N2" i="2"/>
  <c r="N3" i="2" s="1"/>
  <c r="O2" i="2"/>
  <c r="O3" i="2" s="1"/>
  <c r="P2" i="2"/>
  <c r="P3" i="2" s="1"/>
  <c r="B2" i="2"/>
  <c r="B3" i="2" s="1"/>
  <c r="J35" i="1"/>
  <c r="K33" i="1"/>
  <c r="J26" i="1"/>
  <c r="J27" i="1"/>
  <c r="I20" i="1"/>
  <c r="I18" i="1"/>
  <c r="I22" i="1"/>
  <c r="L8" i="1"/>
  <c r="L10" i="1" s="1"/>
  <c r="L12" i="1" s="1"/>
  <c r="L14" i="1" s="1"/>
  <c r="L16" i="1" s="1"/>
  <c r="L18" i="1" s="1"/>
  <c r="L20" i="1" s="1"/>
  <c r="L22" i="1" s="1"/>
  <c r="I6" i="1"/>
  <c r="I14" i="1"/>
  <c r="I12" i="1"/>
  <c r="I10" i="1"/>
  <c r="I8" i="1"/>
  <c r="U10" i="1"/>
  <c r="V10" i="1"/>
  <c r="U7" i="1"/>
  <c r="V7" i="1"/>
  <c r="J6" i="1" s="1"/>
  <c r="J8" i="1" s="1"/>
  <c r="U6" i="1"/>
  <c r="V6" i="1"/>
  <c r="U5" i="1"/>
  <c r="V5" i="1"/>
  <c r="J22" i="1" s="1"/>
  <c r="U3" i="1"/>
  <c r="V3" i="1"/>
  <c r="L31" i="3" l="1"/>
  <c r="L36" i="3" s="1"/>
  <c r="F31" i="3"/>
  <c r="F35" i="3" s="1"/>
  <c r="N37" i="3" s="1"/>
  <c r="N39" i="3" s="1"/>
  <c r="N40" i="3" s="1"/>
  <c r="N41" i="3" s="1"/>
  <c r="E30" i="3"/>
  <c r="E31" i="3" s="1"/>
  <c r="E35" i="3" s="1"/>
  <c r="M37" i="3" s="1"/>
  <c r="M39" i="3" s="1"/>
  <c r="M40" i="3" s="1"/>
  <c r="M41" i="3" s="1"/>
  <c r="G31" i="3"/>
  <c r="G36" i="3" s="1"/>
  <c r="G39" i="3" s="1"/>
  <c r="G40" i="3" s="1"/>
  <c r="G41" i="3" s="1"/>
  <c r="I30" i="3"/>
  <c r="H31" i="3"/>
  <c r="H36" i="3" s="1"/>
  <c r="H39" i="3" s="1"/>
  <c r="H40" i="3" s="1"/>
  <c r="D30" i="3"/>
  <c r="D31" i="3" s="1"/>
  <c r="D35" i="3" s="1"/>
  <c r="L37" i="3" s="1"/>
  <c r="J30" i="3"/>
  <c r="J31" i="3" s="1"/>
  <c r="J36" i="3" s="1"/>
  <c r="J39" i="3" s="1"/>
  <c r="J40" i="3" s="1"/>
  <c r="J10" i="1"/>
  <c r="L39" i="3" l="1"/>
  <c r="L40" i="3" s="1"/>
  <c r="L41" i="3" s="1"/>
  <c r="I31" i="3"/>
  <c r="I36" i="3" s="1"/>
  <c r="I39" i="3" s="1"/>
  <c r="I40" i="3" s="1"/>
  <c r="I41" i="3" s="1"/>
  <c r="C31" i="3"/>
  <c r="C35" i="3" s="1"/>
  <c r="K37" i="3" s="1"/>
  <c r="K39" i="3" s="1"/>
  <c r="K40" i="3" s="1"/>
  <c r="J12" i="1"/>
  <c r="K41" i="3" l="1"/>
  <c r="H41" i="3"/>
  <c r="J41" i="3"/>
  <c r="J14" i="1"/>
  <c r="J16" i="1" s="1"/>
  <c r="B26" i="1"/>
  <c r="J20" i="1" l="1"/>
  <c r="J18" i="1"/>
  <c r="E26" i="1" s="1"/>
  <c r="D25" i="1" l="1"/>
  <c r="H26" i="1" l="1"/>
</calcChain>
</file>

<file path=xl/sharedStrings.xml><?xml version="1.0" encoding="utf-8"?>
<sst xmlns="http://schemas.openxmlformats.org/spreadsheetml/2006/main" count="62" uniqueCount="42">
  <si>
    <t>(</t>
  </si>
  <si>
    <t>")</t>
  </si>
  <si>
    <t>constant multiplier</t>
  </si>
  <si>
    <t>I=1</t>
  </si>
  <si>
    <t xml:space="preserve">I = </t>
  </si>
  <si>
    <t>index of concatenation</t>
  </si>
  <si>
    <t>limit of index</t>
  </si>
  <si>
    <t>RepLen of Catacand</t>
  </si>
  <si>
    <t>Len of M (constant multiplier)</t>
  </si>
  <si>
    <t>Catacand</t>
  </si>
  <si>
    <t>Step</t>
  </si>
  <si>
    <t>Assign T to be the product of M and C</t>
  </si>
  <si>
    <t>Assign P to be the Integer of T</t>
  </si>
  <si>
    <t>Assign D as the mantissa of T</t>
  </si>
  <si>
    <t>Unpack  MAX(2,K) copies of Catacand as decimal following "0." into C</t>
  </si>
  <si>
    <t>Convert D to string</t>
  </si>
  <si>
    <t>Determine working replications into R as MAX(2,K)</t>
  </si>
  <si>
    <t>Lift second cluster of  J digits from D</t>
  </si>
  <si>
    <t>Assign L as the New limit of index as old limit less (R-1) plus 1 if second cluster matches first</t>
  </si>
  <si>
    <t>Lift first clusster of J digits from D following decimal into S</t>
  </si>
  <si>
    <t>++</t>
  </si>
  <si>
    <t>INPUT</t>
  </si>
  <si>
    <t>OUTPUT</t>
  </si>
  <si>
    <t>"</t>
  </si>
  <si>
    <t>***Q = S - P ???</t>
  </si>
  <si>
    <t>Multiplier</t>
  </si>
  <si>
    <t>M1</t>
  </si>
  <si>
    <t>M2</t>
  </si>
  <si>
    <t>Multiplicand</t>
  </si>
  <si>
    <t>L1</t>
  </si>
  <si>
    <t>Len(M1)</t>
  </si>
  <si>
    <t>L2</t>
  </si>
  <si>
    <t>Len(M2)</t>
  </si>
  <si>
    <t>Case l2=1</t>
  </si>
  <si>
    <t>l1+1</t>
  </si>
  <si>
    <t>L2=2</t>
  </si>
  <si>
    <t>L2&gt;2</t>
  </si>
  <si>
    <t>L1-1</t>
  </si>
  <si>
    <t>Number of repetitions in M2</t>
  </si>
  <si>
    <t>Must have one extra column</t>
  </si>
  <si>
    <t>repeat starts after L1 digits for L2 digits</t>
  </si>
  <si>
    <t>€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</si>
</sst>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2" formatCode="0.000000000"/>
    <numFmt numFmtId="175" formatCode="0.000000000000"/>
    <numFmt numFmtId="181" formatCode="0.000000000000000000"/>
    <numFmt numFmtId="184" formatCode="0.000000000000000000000"/>
  </numFmts>
  <fonts count="3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quotePrefix="1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181" fontId="0" fillId="0" borderId="0" xfId="0" applyNumberFormat="1" applyAlignment="1">
      <alignment horizontal="left"/>
    </xf>
    <xf numFmtId="184" fontId="0" fillId="0" borderId="0" xfId="0" applyNumberFormat="1" applyAlignment="1">
      <alignment horizontal="left"/>
    </xf>
    <xf numFmtId="2" fontId="0" fillId="3" borderId="0" xfId="0" applyNumberFormat="1" applyFill="1"/>
    <xf numFmtId="0" fontId="0" fillId="3" borderId="0" xfId="0" applyFill="1" applyAlignment="1">
      <alignment horizontal="right"/>
    </xf>
    <xf numFmtId="0" fontId="0" fillId="3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2" borderId="0" xfId="0" applyFill="1" applyBorder="1" applyAlignment="1">
      <alignment horizontal="center"/>
    </xf>
    <xf numFmtId="0" fontId="0" fillId="0" borderId="5" xfId="0" applyBorder="1"/>
    <xf numFmtId="0" fontId="0" fillId="2" borderId="4" xfId="0" applyFill="1" applyBorder="1"/>
    <xf numFmtId="0" fontId="0" fillId="0" borderId="0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7" xfId="0" quotePrefix="1" applyBorder="1" applyAlignment="1">
      <alignment horizontal="center"/>
    </xf>
    <xf numFmtId="0" fontId="0" fillId="0" borderId="8" xfId="0" applyBorder="1"/>
    <xf numFmtId="0" fontId="0" fillId="0" borderId="3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0" xfId="0" quotePrefix="1" applyBorder="1"/>
    <xf numFmtId="0" fontId="0" fillId="0" borderId="8" xfId="0" applyBorder="1" applyAlignment="1">
      <alignment horizontal="left"/>
    </xf>
    <xf numFmtId="175" fontId="0" fillId="0" borderId="0" xfId="0" applyNumberFormat="1"/>
    <xf numFmtId="172" fontId="0" fillId="0" borderId="0" xfId="0" applyNumberFormat="1" applyAlignment="1">
      <alignment horizontal="left" indent="6"/>
    </xf>
    <xf numFmtId="0" fontId="1" fillId="0" borderId="0" xfId="0" applyFont="1"/>
    <xf numFmtId="0" fontId="2" fillId="0" borderId="0" xfId="0" applyFont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40759-9521-C64E-9700-B0C124287D50}">
  <dimension ref="B1:X35"/>
  <sheetViews>
    <sheetView workbookViewId="0">
      <selection activeCell="J42" sqref="J42"/>
    </sheetView>
  </sheetViews>
  <sheetFormatPr baseColWidth="10" defaultRowHeight="16" x14ac:dyDescent="0.2"/>
  <cols>
    <col min="1" max="1" width="3.6640625" customWidth="1"/>
    <col min="2" max="2" width="8.1640625" bestFit="1" customWidth="1"/>
    <col min="3" max="3" width="3.1640625" bestFit="1" customWidth="1"/>
    <col min="4" max="4" width="5.33203125" customWidth="1"/>
    <col min="5" max="5" width="4.1640625" bestFit="1" customWidth="1"/>
    <col min="6" max="6" width="2.6640625" bestFit="1" customWidth="1"/>
    <col min="7" max="7" width="2.6640625" customWidth="1"/>
    <col min="8" max="8" width="7.1640625" style="2" bestFit="1" customWidth="1"/>
    <col min="9" max="9" width="8.83203125" style="4" customWidth="1"/>
    <col min="10" max="10" width="24" bestFit="1" customWidth="1"/>
    <col min="11" max="11" width="10.83203125" style="4"/>
    <col min="12" max="12" width="10.83203125" style="2"/>
    <col min="21" max="21" width="10.83203125" style="4"/>
    <col min="22" max="22" width="10.83203125" style="2"/>
    <col min="23" max="23" width="2.5" customWidth="1"/>
  </cols>
  <sheetData>
    <row r="1" spans="2:24" ht="17" thickBot="1" x14ac:dyDescent="0.25"/>
    <row r="2" spans="2:24" x14ac:dyDescent="0.2">
      <c r="B2" s="11" t="s">
        <v>21</v>
      </c>
      <c r="C2" s="12"/>
      <c r="D2" s="12"/>
      <c r="E2" s="12"/>
      <c r="F2" s="13"/>
    </row>
    <row r="3" spans="2:24" x14ac:dyDescent="0.2">
      <c r="B3" s="14"/>
      <c r="C3" s="15"/>
      <c r="D3" s="16">
        <v>12</v>
      </c>
      <c r="E3" s="15"/>
      <c r="F3" s="17"/>
      <c r="U3" s="4" t="str">
        <f>"M = "</f>
        <v xml:space="preserve">M = </v>
      </c>
      <c r="V3" s="2">
        <f>B4</f>
        <v>12345</v>
      </c>
      <c r="X3" t="s">
        <v>2</v>
      </c>
    </row>
    <row r="4" spans="2:24" x14ac:dyDescent="0.2">
      <c r="B4" s="18">
        <v>12345</v>
      </c>
      <c r="C4" s="19" t="s">
        <v>0</v>
      </c>
      <c r="D4" s="15" t="s">
        <v>41</v>
      </c>
      <c r="E4" s="16">
        <v>45</v>
      </c>
      <c r="F4" s="17" t="s">
        <v>1</v>
      </c>
      <c r="U4" s="5" t="s">
        <v>4</v>
      </c>
      <c r="V4" s="3"/>
      <c r="W4" s="1"/>
      <c r="X4" t="s">
        <v>5</v>
      </c>
    </row>
    <row r="5" spans="2:24" ht="17" thickBot="1" x14ac:dyDescent="0.25">
      <c r="B5" s="20"/>
      <c r="C5" s="21"/>
      <c r="D5" s="22" t="s">
        <v>3</v>
      </c>
      <c r="E5" s="21"/>
      <c r="F5" s="23"/>
      <c r="U5" s="4" t="str">
        <f>"N  = "</f>
        <v xml:space="preserve">N  = </v>
      </c>
      <c r="V5" s="2">
        <f>D3</f>
        <v>12</v>
      </c>
      <c r="X5" t="s">
        <v>6</v>
      </c>
    </row>
    <row r="6" spans="2:24" x14ac:dyDescent="0.2">
      <c r="I6" s="4" t="str">
        <f>"R = "</f>
        <v xml:space="preserve">R = </v>
      </c>
      <c r="J6" s="2">
        <f>MAX(2,V7)</f>
        <v>5</v>
      </c>
      <c r="K6" s="4" t="s">
        <v>10</v>
      </c>
      <c r="L6" s="2">
        <v>1</v>
      </c>
      <c r="N6" t="s">
        <v>16</v>
      </c>
      <c r="U6" s="4" t="str">
        <f>"J = "</f>
        <v xml:space="preserve">J = </v>
      </c>
      <c r="V6" s="2">
        <f>LEN(E4)</f>
        <v>2</v>
      </c>
      <c r="X6" t="s">
        <v>7</v>
      </c>
    </row>
    <row r="7" spans="2:24" x14ac:dyDescent="0.2">
      <c r="U7" s="4" t="str">
        <f>"K = "</f>
        <v xml:space="preserve">K = </v>
      </c>
      <c r="V7" s="2">
        <f>INT(LOG10(B4))+1</f>
        <v>5</v>
      </c>
      <c r="X7" t="s">
        <v>8</v>
      </c>
    </row>
    <row r="8" spans="2:24" x14ac:dyDescent="0.2">
      <c r="I8" s="4" t="str">
        <f>"C = "</f>
        <v xml:space="preserve">C = </v>
      </c>
      <c r="J8" t="str">
        <f>"0."&amp;REPT(E4,J6)</f>
        <v>0.4545454545</v>
      </c>
      <c r="K8" s="4" t="s">
        <v>10</v>
      </c>
      <c r="L8" s="2">
        <f>L6+1</f>
        <v>2</v>
      </c>
      <c r="N8" s="1" t="s">
        <v>14</v>
      </c>
      <c r="O8" s="1"/>
      <c r="P8" s="1"/>
      <c r="Q8" s="1"/>
      <c r="R8" s="1"/>
      <c r="S8" s="1"/>
    </row>
    <row r="10" spans="2:24" x14ac:dyDescent="0.2">
      <c r="I10" s="4" t="str">
        <f>"T = "</f>
        <v xml:space="preserve">T = </v>
      </c>
      <c r="J10" s="6">
        <f>B4*J8</f>
        <v>5611.3636358024996</v>
      </c>
      <c r="K10" s="4" t="s">
        <v>10</v>
      </c>
      <c r="L10" s="2">
        <f>L8+1</f>
        <v>3</v>
      </c>
      <c r="N10" t="s">
        <v>11</v>
      </c>
      <c r="U10" s="4" t="str">
        <f>"C = "</f>
        <v xml:space="preserve">C = </v>
      </c>
      <c r="V10" s="2">
        <f>E4</f>
        <v>45</v>
      </c>
      <c r="X10" t="s">
        <v>9</v>
      </c>
    </row>
    <row r="12" spans="2:24" x14ac:dyDescent="0.2">
      <c r="I12" s="4" t="str">
        <f>"P = "</f>
        <v xml:space="preserve">P = </v>
      </c>
      <c r="J12" s="2">
        <f>INT(J10)</f>
        <v>5611</v>
      </c>
      <c r="K12" s="4" t="s">
        <v>10</v>
      </c>
      <c r="L12" s="2">
        <f>L10+1</f>
        <v>4</v>
      </c>
      <c r="N12" t="s">
        <v>12</v>
      </c>
    </row>
    <row r="14" spans="2:24" x14ac:dyDescent="0.2">
      <c r="I14" s="4" t="str">
        <f>"D = "</f>
        <v xml:space="preserve">D = </v>
      </c>
      <c r="J14" s="7">
        <f>J10-J12</f>
        <v>0.36363580249962979</v>
      </c>
      <c r="K14" s="4" t="s">
        <v>10</v>
      </c>
      <c r="L14" s="2">
        <f>L12+1</f>
        <v>5</v>
      </c>
      <c r="N14" t="s">
        <v>13</v>
      </c>
    </row>
    <row r="16" spans="2:24" x14ac:dyDescent="0.2">
      <c r="J16" t="str">
        <f>TEXT(J14,"0."&amp;REPT("0",MAX(2,V7)*V6))</f>
        <v>0.3636358025</v>
      </c>
      <c r="K16" s="4" t="s">
        <v>10</v>
      </c>
      <c r="L16" s="2">
        <f>L14+1</f>
        <v>6</v>
      </c>
      <c r="N16" t="s">
        <v>15</v>
      </c>
    </row>
    <row r="18" spans="2:14" x14ac:dyDescent="0.2">
      <c r="I18" s="4" t="str">
        <f>"S = "</f>
        <v xml:space="preserve">S = </v>
      </c>
      <c r="J18" t="str">
        <f>MID(J16,3,V6)</f>
        <v>36</v>
      </c>
      <c r="K18" s="4" t="s">
        <v>10</v>
      </c>
      <c r="L18" s="2">
        <f>L16+1</f>
        <v>7</v>
      </c>
      <c r="N18" t="s">
        <v>19</v>
      </c>
    </row>
    <row r="20" spans="2:14" x14ac:dyDescent="0.2">
      <c r="I20" s="4" t="str">
        <f>"Q = "</f>
        <v xml:space="preserve">Q = </v>
      </c>
      <c r="J20" t="str">
        <f>MID(J16,3+V6,V6)</f>
        <v>36</v>
      </c>
      <c r="K20" s="4" t="s">
        <v>10</v>
      </c>
      <c r="L20" s="2">
        <f>L18+1</f>
        <v>8</v>
      </c>
      <c r="N20" t="s">
        <v>17</v>
      </c>
    </row>
    <row r="22" spans="2:14" x14ac:dyDescent="0.2">
      <c r="I22" s="4" t="str">
        <f>"L = "</f>
        <v xml:space="preserve">L = </v>
      </c>
      <c r="J22" s="2">
        <f>V5-(J6-1)+IF(J18=J20,1,0)</f>
        <v>9</v>
      </c>
      <c r="K22" s="4" t="s">
        <v>10</v>
      </c>
      <c r="L22" s="2">
        <f>L20+1</f>
        <v>9</v>
      </c>
      <c r="N22" t="s">
        <v>18</v>
      </c>
    </row>
    <row r="23" spans="2:14" ht="17" thickBot="1" x14ac:dyDescent="0.25"/>
    <row r="24" spans="2:14" x14ac:dyDescent="0.2">
      <c r="B24" s="11" t="s">
        <v>22</v>
      </c>
      <c r="C24" s="12"/>
      <c r="D24" s="12"/>
      <c r="E24" s="12"/>
      <c r="F24" s="12"/>
      <c r="G24" s="12"/>
      <c r="H24" s="24"/>
    </row>
    <row r="25" spans="2:14" x14ac:dyDescent="0.2">
      <c r="B25" s="14"/>
      <c r="C25" s="15"/>
      <c r="D25" s="25">
        <f>J22</f>
        <v>9</v>
      </c>
      <c r="E25" s="15"/>
      <c r="F25" s="15"/>
      <c r="G25" s="15"/>
      <c r="H25" s="26"/>
    </row>
    <row r="26" spans="2:14" x14ac:dyDescent="0.2">
      <c r="B26" s="14">
        <f>J12</f>
        <v>5611</v>
      </c>
      <c r="C26" s="27" t="s">
        <v>20</v>
      </c>
      <c r="D26" s="15" t="s">
        <v>41</v>
      </c>
      <c r="E26" s="25" t="str">
        <f>J18</f>
        <v>36</v>
      </c>
      <c r="F26" s="15" t="s">
        <v>23</v>
      </c>
      <c r="G26" s="27" t="s">
        <v>20</v>
      </c>
      <c r="H26" s="26" t="str">
        <f>RIGHT(J16,V6*(V5-J22))</f>
        <v>358025</v>
      </c>
      <c r="J26" s="8">
        <f>12345*45454545</f>
        <v>561136358025</v>
      </c>
      <c r="K26" s="9"/>
      <c r="M26" t="s">
        <v>24</v>
      </c>
    </row>
    <row r="27" spans="2:14" ht="17" thickBot="1" x14ac:dyDescent="0.25">
      <c r="B27" s="20"/>
      <c r="C27" s="21"/>
      <c r="D27" s="22" t="s">
        <v>3</v>
      </c>
      <c r="E27" s="21"/>
      <c r="F27" s="21"/>
      <c r="G27" s="21"/>
      <c r="H27" s="28"/>
      <c r="J27" s="10">
        <f>9090-560</f>
        <v>8530</v>
      </c>
      <c r="K27" s="9"/>
    </row>
    <row r="28" spans="2:14" x14ac:dyDescent="0.2">
      <c r="J28" s="10"/>
      <c r="K28" s="9"/>
    </row>
    <row r="29" spans="2:14" x14ac:dyDescent="0.2">
      <c r="J29" s="10"/>
      <c r="K29" s="9"/>
    </row>
    <row r="30" spans="2:14" x14ac:dyDescent="0.2">
      <c r="J30" s="10"/>
      <c r="K30" s="9"/>
    </row>
    <row r="31" spans="2:14" x14ac:dyDescent="0.2">
      <c r="J31" s="10"/>
      <c r="K31" s="9"/>
    </row>
    <row r="32" spans="2:14" x14ac:dyDescent="0.2">
      <c r="J32" s="10"/>
      <c r="K32" s="9"/>
    </row>
    <row r="33" spans="10:11" x14ac:dyDescent="0.2">
      <c r="J33" s="10">
        <v>12345</v>
      </c>
      <c r="K33" s="9" t="str">
        <f>REPT("45",4)</f>
        <v>45454545</v>
      </c>
    </row>
    <row r="34" spans="10:11" x14ac:dyDescent="0.2">
      <c r="J34" s="10"/>
      <c r="K34" s="9"/>
    </row>
    <row r="35" spans="10:11" x14ac:dyDescent="0.2">
      <c r="J35" s="8">
        <f>J33*K33</f>
        <v>561136358025</v>
      </c>
      <c r="K35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AF460-DC5E-374D-B1D6-C82F097C7507}">
  <dimension ref="A1:R71"/>
  <sheetViews>
    <sheetView workbookViewId="0">
      <selection activeCell="A3" sqref="A3"/>
    </sheetView>
  </sheetViews>
  <sheetFormatPr baseColWidth="10" defaultRowHeight="16" x14ac:dyDescent="0.2"/>
  <cols>
    <col min="1" max="1" width="12.1640625" bestFit="1" customWidth="1"/>
    <col min="2" max="2" width="24" bestFit="1" customWidth="1"/>
    <col min="3" max="11" width="14.6640625" bestFit="1" customWidth="1"/>
    <col min="12" max="13" width="15.6640625" bestFit="1" customWidth="1"/>
    <col min="14" max="15" width="16.83203125" bestFit="1" customWidth="1"/>
    <col min="16" max="16" width="17.83203125" bestFit="1" customWidth="1"/>
  </cols>
  <sheetData>
    <row r="1" spans="1:18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12</v>
      </c>
      <c r="L1">
        <v>98</v>
      </c>
      <c r="M1">
        <v>123</v>
      </c>
      <c r="N1">
        <v>987</v>
      </c>
      <c r="O1">
        <v>1234</v>
      </c>
      <c r="P1">
        <v>9876</v>
      </c>
    </row>
    <row r="2" spans="1:18" x14ac:dyDescent="0.2">
      <c r="A2">
        <v>0.12121212000000001</v>
      </c>
      <c r="B2" s="29">
        <f>$A2</f>
        <v>0.12121212000000001</v>
      </c>
      <c r="C2" s="29">
        <f t="shared" ref="C2:P2" si="0">$A2</f>
        <v>0.12121212000000001</v>
      </c>
      <c r="D2" s="29">
        <f t="shared" si="0"/>
        <v>0.12121212000000001</v>
      </c>
      <c r="E2" s="29">
        <f t="shared" si="0"/>
        <v>0.12121212000000001</v>
      </c>
      <c r="F2" s="29">
        <f t="shared" si="0"/>
        <v>0.12121212000000001</v>
      </c>
      <c r="G2" s="29">
        <f t="shared" si="0"/>
        <v>0.12121212000000001</v>
      </c>
      <c r="H2" s="29">
        <f t="shared" si="0"/>
        <v>0.12121212000000001</v>
      </c>
      <c r="I2" s="29">
        <f t="shared" si="0"/>
        <v>0.12121212000000001</v>
      </c>
      <c r="J2" s="29">
        <f t="shared" si="0"/>
        <v>0.12121212000000001</v>
      </c>
      <c r="K2" s="29">
        <f t="shared" si="0"/>
        <v>0.12121212000000001</v>
      </c>
      <c r="L2" s="29">
        <f t="shared" si="0"/>
        <v>0.12121212000000001</v>
      </c>
      <c r="M2" s="29">
        <f t="shared" si="0"/>
        <v>0.12121212000000001</v>
      </c>
      <c r="N2" s="29">
        <f t="shared" si="0"/>
        <v>0.12121212000000001</v>
      </c>
      <c r="O2" s="29">
        <f t="shared" si="0"/>
        <v>0.12121212000000001</v>
      </c>
      <c r="P2" s="29">
        <f t="shared" si="0"/>
        <v>0.12121212000000001</v>
      </c>
    </row>
    <row r="3" spans="1:18" x14ac:dyDescent="0.2">
      <c r="B3" s="29">
        <f>B2*B1</f>
        <v>0.12121212000000001</v>
      </c>
      <c r="C3" s="29">
        <f t="shared" ref="C3:P3" si="1">C2*C1</f>
        <v>0.24242424000000001</v>
      </c>
      <c r="D3" s="29">
        <f t="shared" si="1"/>
        <v>0.36363635999999999</v>
      </c>
      <c r="E3" s="29">
        <f t="shared" si="1"/>
        <v>0.48484848000000003</v>
      </c>
      <c r="F3" s="29">
        <f t="shared" si="1"/>
        <v>0.60606060000000006</v>
      </c>
      <c r="G3" s="29">
        <f t="shared" si="1"/>
        <v>0.72727271999999998</v>
      </c>
      <c r="H3" s="29">
        <f t="shared" si="1"/>
        <v>0.84848484000000002</v>
      </c>
      <c r="I3" s="29">
        <f t="shared" si="1"/>
        <v>0.96969696000000005</v>
      </c>
      <c r="J3" s="29">
        <f t="shared" si="1"/>
        <v>1.0909090800000001</v>
      </c>
      <c r="K3" s="29">
        <f t="shared" si="1"/>
        <v>1.45454544</v>
      </c>
      <c r="L3" s="29">
        <f t="shared" si="1"/>
        <v>11.87878776</v>
      </c>
      <c r="M3" s="29">
        <f t="shared" si="1"/>
        <v>14.909090760000002</v>
      </c>
      <c r="N3" s="29">
        <f t="shared" si="1"/>
        <v>119.63636244000001</v>
      </c>
      <c r="O3" s="29">
        <f t="shared" si="1"/>
        <v>149.57575608000002</v>
      </c>
      <c r="P3" s="29">
        <f t="shared" si="1"/>
        <v>1197.0908971200001</v>
      </c>
    </row>
    <row r="6" spans="1:18" x14ac:dyDescent="0.2">
      <c r="B6">
        <v>9876</v>
      </c>
      <c r="C6" t="s">
        <v>26</v>
      </c>
      <c r="D6" t="s">
        <v>25</v>
      </c>
      <c r="E6">
        <v>4</v>
      </c>
      <c r="F6" t="s">
        <v>29</v>
      </c>
      <c r="G6" t="s">
        <v>30</v>
      </c>
    </row>
    <row r="7" spans="1:18" x14ac:dyDescent="0.2">
      <c r="B7">
        <v>0.12121212000000001</v>
      </c>
      <c r="C7" t="s">
        <v>27</v>
      </c>
      <c r="D7" t="s">
        <v>28</v>
      </c>
      <c r="E7">
        <v>2</v>
      </c>
      <c r="F7" t="s">
        <v>31</v>
      </c>
      <c r="G7" t="s">
        <v>32</v>
      </c>
      <c r="N7">
        <v>909090909</v>
      </c>
    </row>
    <row r="8" spans="1:18" x14ac:dyDescent="0.2">
      <c r="N8">
        <v>1197</v>
      </c>
    </row>
    <row r="9" spans="1:18" x14ac:dyDescent="0.2">
      <c r="B9" s="30">
        <f>B6*B7</f>
        <v>1197.0908971200001</v>
      </c>
      <c r="N9">
        <f>N7-N8</f>
        <v>909089712</v>
      </c>
    </row>
    <row r="12" spans="1:18" x14ac:dyDescent="0.2">
      <c r="D12">
        <v>9</v>
      </c>
      <c r="E12">
        <v>8</v>
      </c>
      <c r="F12">
        <v>7</v>
      </c>
      <c r="G12">
        <v>6</v>
      </c>
    </row>
    <row r="14" spans="1:18" x14ac:dyDescent="0.2">
      <c r="D14">
        <v>9</v>
      </c>
      <c r="E14">
        <v>8</v>
      </c>
      <c r="F14">
        <v>7</v>
      </c>
      <c r="G14">
        <v>6</v>
      </c>
      <c r="R14">
        <v>1</v>
      </c>
    </row>
    <row r="15" spans="1:18" x14ac:dyDescent="0.2">
      <c r="E15">
        <v>18</v>
      </c>
      <c r="F15">
        <v>16</v>
      </c>
      <c r="G15">
        <v>14</v>
      </c>
      <c r="H15">
        <v>12</v>
      </c>
      <c r="R15">
        <v>2</v>
      </c>
    </row>
    <row r="16" spans="1:18" x14ac:dyDescent="0.2">
      <c r="F16">
        <v>9</v>
      </c>
      <c r="G16">
        <v>8</v>
      </c>
      <c r="H16">
        <v>7</v>
      </c>
      <c r="I16">
        <v>6</v>
      </c>
      <c r="R16">
        <v>1</v>
      </c>
    </row>
    <row r="17" spans="3:18" x14ac:dyDescent="0.2">
      <c r="G17">
        <v>18</v>
      </c>
      <c r="H17">
        <v>16</v>
      </c>
      <c r="I17">
        <v>14</v>
      </c>
      <c r="J17">
        <v>12</v>
      </c>
      <c r="R17">
        <v>2</v>
      </c>
    </row>
    <row r="18" spans="3:18" x14ac:dyDescent="0.2">
      <c r="H18">
        <v>9</v>
      </c>
      <c r="I18">
        <v>8</v>
      </c>
      <c r="J18">
        <v>7</v>
      </c>
      <c r="K18">
        <v>6</v>
      </c>
      <c r="R18">
        <v>1</v>
      </c>
    </row>
    <row r="19" spans="3:18" x14ac:dyDescent="0.2">
      <c r="I19">
        <v>18</v>
      </c>
      <c r="J19">
        <v>16</v>
      </c>
      <c r="K19">
        <v>14</v>
      </c>
      <c r="L19">
        <v>12</v>
      </c>
      <c r="R19">
        <v>2</v>
      </c>
    </row>
    <row r="20" spans="3:18" x14ac:dyDescent="0.2">
      <c r="J20">
        <v>9</v>
      </c>
      <c r="K20">
        <v>8</v>
      </c>
      <c r="L20">
        <v>7</v>
      </c>
      <c r="M20">
        <v>6</v>
      </c>
      <c r="R20">
        <v>1</v>
      </c>
    </row>
    <row r="21" spans="3:18" x14ac:dyDescent="0.2">
      <c r="K21">
        <v>18</v>
      </c>
      <c r="L21">
        <v>16</v>
      </c>
      <c r="M21">
        <v>14</v>
      </c>
      <c r="N21">
        <v>12</v>
      </c>
      <c r="R21">
        <v>2</v>
      </c>
    </row>
    <row r="28" spans="3:18" x14ac:dyDescent="0.2">
      <c r="D28">
        <f>SUM(D14:D26)</f>
        <v>9</v>
      </c>
      <c r="E28">
        <f t="shared" ref="E28:N28" si="2">SUM(E14:E26)</f>
        <v>26</v>
      </c>
      <c r="F28">
        <f t="shared" si="2"/>
        <v>32</v>
      </c>
      <c r="G28">
        <f t="shared" si="2"/>
        <v>46</v>
      </c>
      <c r="H28">
        <f t="shared" si="2"/>
        <v>44</v>
      </c>
      <c r="I28">
        <f t="shared" si="2"/>
        <v>46</v>
      </c>
      <c r="J28">
        <f t="shared" si="2"/>
        <v>44</v>
      </c>
      <c r="K28">
        <f t="shared" si="2"/>
        <v>46</v>
      </c>
      <c r="L28">
        <f t="shared" si="2"/>
        <v>35</v>
      </c>
      <c r="M28">
        <f t="shared" si="2"/>
        <v>20</v>
      </c>
      <c r="N28">
        <f t="shared" si="2"/>
        <v>12</v>
      </c>
    </row>
    <row r="30" spans="3:18" x14ac:dyDescent="0.2">
      <c r="C30">
        <v>0</v>
      </c>
      <c r="D30">
        <v>9</v>
      </c>
    </row>
    <row r="31" spans="3:18" x14ac:dyDescent="0.2">
      <c r="D31">
        <v>2</v>
      </c>
    </row>
    <row r="32" spans="3:18" x14ac:dyDescent="0.2">
      <c r="E32">
        <v>6</v>
      </c>
    </row>
    <row r="33" spans="3:14" x14ac:dyDescent="0.2">
      <c r="E33">
        <v>3</v>
      </c>
      <c r="F33">
        <v>2</v>
      </c>
    </row>
    <row r="34" spans="3:14" x14ac:dyDescent="0.2">
      <c r="F34">
        <v>4</v>
      </c>
      <c r="G34">
        <v>6</v>
      </c>
    </row>
    <row r="35" spans="3:14" x14ac:dyDescent="0.2">
      <c r="G35">
        <v>4</v>
      </c>
      <c r="H35">
        <v>4</v>
      </c>
    </row>
    <row r="36" spans="3:14" x14ac:dyDescent="0.2">
      <c r="H36">
        <v>4</v>
      </c>
      <c r="I36">
        <v>6</v>
      </c>
    </row>
    <row r="37" spans="3:14" x14ac:dyDescent="0.2">
      <c r="I37">
        <v>4</v>
      </c>
      <c r="J37">
        <v>4</v>
      </c>
    </row>
    <row r="38" spans="3:14" x14ac:dyDescent="0.2">
      <c r="J38">
        <v>4</v>
      </c>
      <c r="K38">
        <v>6</v>
      </c>
    </row>
    <row r="39" spans="3:14" x14ac:dyDescent="0.2">
      <c r="K39">
        <v>3</v>
      </c>
      <c r="L39">
        <v>5</v>
      </c>
    </row>
    <row r="40" spans="3:14" x14ac:dyDescent="0.2">
      <c r="L40">
        <v>2</v>
      </c>
      <c r="M40">
        <v>0</v>
      </c>
    </row>
    <row r="41" spans="3:14" x14ac:dyDescent="0.2">
      <c r="M41">
        <v>1</v>
      </c>
      <c r="N41">
        <v>2</v>
      </c>
    </row>
    <row r="43" spans="3:14" x14ac:dyDescent="0.2">
      <c r="C43">
        <f t="shared" ref="C43:M43" si="3">SUM(C30:C41)</f>
        <v>0</v>
      </c>
      <c r="D43">
        <f t="shared" si="3"/>
        <v>11</v>
      </c>
      <c r="E43">
        <f t="shared" si="3"/>
        <v>9</v>
      </c>
      <c r="F43">
        <f t="shared" si="3"/>
        <v>6</v>
      </c>
      <c r="G43">
        <f t="shared" si="3"/>
        <v>10</v>
      </c>
      <c r="H43">
        <f t="shared" si="3"/>
        <v>8</v>
      </c>
      <c r="I43">
        <f t="shared" si="3"/>
        <v>10</v>
      </c>
      <c r="J43">
        <f t="shared" si="3"/>
        <v>8</v>
      </c>
      <c r="K43">
        <f t="shared" si="3"/>
        <v>9</v>
      </c>
      <c r="L43">
        <f t="shared" si="3"/>
        <v>7</v>
      </c>
      <c r="M43">
        <f t="shared" si="3"/>
        <v>1</v>
      </c>
      <c r="N43">
        <f>SUM(N30:N41)</f>
        <v>2</v>
      </c>
    </row>
    <row r="45" spans="3:14" x14ac:dyDescent="0.2">
      <c r="C45">
        <v>1</v>
      </c>
      <c r="D45">
        <v>1</v>
      </c>
    </row>
    <row r="46" spans="3:14" x14ac:dyDescent="0.2">
      <c r="D46">
        <v>0</v>
      </c>
      <c r="E46">
        <v>9</v>
      </c>
    </row>
    <row r="47" spans="3:14" x14ac:dyDescent="0.2">
      <c r="E47">
        <v>0</v>
      </c>
      <c r="F47">
        <v>6</v>
      </c>
    </row>
    <row r="48" spans="3:14" x14ac:dyDescent="0.2">
      <c r="F48">
        <v>1</v>
      </c>
      <c r="G48">
        <v>0</v>
      </c>
    </row>
    <row r="49" spans="3:14" x14ac:dyDescent="0.2">
      <c r="G49">
        <v>0</v>
      </c>
      <c r="H49">
        <v>8</v>
      </c>
    </row>
    <row r="50" spans="3:14" x14ac:dyDescent="0.2">
      <c r="H50">
        <v>1</v>
      </c>
      <c r="I50" s="31">
        <v>0</v>
      </c>
    </row>
    <row r="51" spans="3:14" x14ac:dyDescent="0.2">
      <c r="I51">
        <v>0</v>
      </c>
      <c r="J51">
        <v>8</v>
      </c>
    </row>
    <row r="52" spans="3:14" x14ac:dyDescent="0.2">
      <c r="J52">
        <v>0</v>
      </c>
      <c r="K52">
        <v>9</v>
      </c>
    </row>
    <row r="53" spans="3:14" x14ac:dyDescent="0.2">
      <c r="K53">
        <v>0</v>
      </c>
      <c r="L53">
        <v>7</v>
      </c>
    </row>
    <row r="54" spans="3:14" x14ac:dyDescent="0.2">
      <c r="L54">
        <v>0</v>
      </c>
      <c r="M54">
        <v>1</v>
      </c>
    </row>
    <row r="55" spans="3:14" x14ac:dyDescent="0.2">
      <c r="M55">
        <v>0</v>
      </c>
      <c r="N55">
        <v>2</v>
      </c>
    </row>
    <row r="57" spans="3:14" x14ac:dyDescent="0.2">
      <c r="C57">
        <f t="shared" ref="C57:M57" si="4">SUM(C45:C55)</f>
        <v>1</v>
      </c>
      <c r="D57">
        <f t="shared" si="4"/>
        <v>1</v>
      </c>
      <c r="E57">
        <f t="shared" si="4"/>
        <v>9</v>
      </c>
      <c r="F57">
        <f t="shared" si="4"/>
        <v>7</v>
      </c>
      <c r="G57">
        <f t="shared" si="4"/>
        <v>0</v>
      </c>
      <c r="H57">
        <f t="shared" si="4"/>
        <v>9</v>
      </c>
      <c r="I57">
        <f t="shared" si="4"/>
        <v>0</v>
      </c>
      <c r="J57">
        <f t="shared" si="4"/>
        <v>8</v>
      </c>
      <c r="K57">
        <f t="shared" si="4"/>
        <v>9</v>
      </c>
      <c r="L57">
        <f t="shared" si="4"/>
        <v>7</v>
      </c>
      <c r="M57">
        <f t="shared" si="4"/>
        <v>1</v>
      </c>
      <c r="N57">
        <f>SUM(N45:N55)</f>
        <v>2</v>
      </c>
    </row>
    <row r="62" spans="3:14" x14ac:dyDescent="0.2">
      <c r="C62">
        <f>C57</f>
        <v>1</v>
      </c>
      <c r="D62">
        <f t="shared" ref="D62:F62" si="5">D57</f>
        <v>1</v>
      </c>
      <c r="E62">
        <f t="shared" si="5"/>
        <v>9</v>
      </c>
      <c r="F62">
        <f t="shared" si="5"/>
        <v>7</v>
      </c>
    </row>
    <row r="63" spans="3:14" x14ac:dyDescent="0.2">
      <c r="G63">
        <v>0</v>
      </c>
      <c r="H63">
        <v>9</v>
      </c>
      <c r="I63">
        <v>0</v>
      </c>
      <c r="J63">
        <v>9</v>
      </c>
      <c r="K63">
        <v>0</v>
      </c>
      <c r="L63">
        <v>9</v>
      </c>
      <c r="M63">
        <v>0</v>
      </c>
      <c r="N63">
        <v>9</v>
      </c>
    </row>
    <row r="64" spans="3:14" x14ac:dyDescent="0.2">
      <c r="K64">
        <v>1</v>
      </c>
      <c r="L64">
        <v>1</v>
      </c>
      <c r="M64">
        <v>9</v>
      </c>
      <c r="N64">
        <v>7</v>
      </c>
    </row>
    <row r="66" spans="7:15" x14ac:dyDescent="0.2">
      <c r="G66">
        <f t="shared" ref="G66:M66" si="6">G63-G64</f>
        <v>0</v>
      </c>
      <c r="H66">
        <f t="shared" si="6"/>
        <v>9</v>
      </c>
      <c r="I66">
        <f t="shared" si="6"/>
        <v>0</v>
      </c>
      <c r="J66">
        <f t="shared" si="6"/>
        <v>9</v>
      </c>
      <c r="K66">
        <f t="shared" si="6"/>
        <v>-1</v>
      </c>
      <c r="L66">
        <f t="shared" si="6"/>
        <v>8</v>
      </c>
      <c r="M66">
        <f t="shared" si="6"/>
        <v>-9</v>
      </c>
      <c r="N66">
        <f>N63-N64</f>
        <v>2</v>
      </c>
    </row>
    <row r="67" spans="7:15" x14ac:dyDescent="0.2">
      <c r="G67" t="b">
        <f t="shared" ref="G67:M67" si="7">G66&lt;0</f>
        <v>0</v>
      </c>
      <c r="H67" t="b">
        <f t="shared" si="7"/>
        <v>0</v>
      </c>
      <c r="I67" t="b">
        <f t="shared" si="7"/>
        <v>0</v>
      </c>
      <c r="J67" t="b">
        <f t="shared" si="7"/>
        <v>0</v>
      </c>
      <c r="K67" t="b">
        <f t="shared" si="7"/>
        <v>1</v>
      </c>
      <c r="L67" t="b">
        <f t="shared" si="7"/>
        <v>0</v>
      </c>
      <c r="M67" t="b">
        <f t="shared" si="7"/>
        <v>1</v>
      </c>
      <c r="N67" t="b">
        <f>N66&lt;0</f>
        <v>0</v>
      </c>
    </row>
    <row r="68" spans="7:15" x14ac:dyDescent="0.2">
      <c r="G68">
        <f t="shared" ref="G68:L68" si="8">IF(G67,G66+10,G66)+IF(H67,-1,0)</f>
        <v>0</v>
      </c>
      <c r="H68">
        <f t="shared" si="8"/>
        <v>9</v>
      </c>
      <c r="I68">
        <f t="shared" si="8"/>
        <v>0</v>
      </c>
      <c r="J68">
        <f t="shared" si="8"/>
        <v>8</v>
      </c>
      <c r="K68">
        <f t="shared" si="8"/>
        <v>9</v>
      </c>
      <c r="L68">
        <f t="shared" si="8"/>
        <v>7</v>
      </c>
      <c r="M68">
        <f>IF(M67,M66+10,M66)+IF(N67,-1,0)</f>
        <v>1</v>
      </c>
      <c r="N68">
        <f>IF(N67,N66+10,N66)</f>
        <v>2</v>
      </c>
    </row>
    <row r="71" spans="7:15" x14ac:dyDescent="0.2">
      <c r="O71" s="3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F328E-DF0F-0341-AD79-3BE73C29E00B}">
  <dimension ref="A1:R45"/>
  <sheetViews>
    <sheetView tabSelected="1" workbookViewId="0">
      <selection activeCell="E7" sqref="E7"/>
    </sheetView>
  </sheetViews>
  <sheetFormatPr baseColWidth="10" defaultRowHeight="16" x14ac:dyDescent="0.2"/>
  <cols>
    <col min="2" max="2" width="24" bestFit="1" customWidth="1"/>
    <col min="3" max="11" width="14.6640625" bestFit="1" customWidth="1"/>
    <col min="12" max="13" width="15.6640625" bestFit="1" customWidth="1"/>
    <col min="14" max="15" width="16.83203125" bestFit="1" customWidth="1"/>
    <col min="16" max="16" width="17.83203125" bestFit="1" customWidth="1"/>
  </cols>
  <sheetData>
    <row r="1" spans="1:18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12</v>
      </c>
      <c r="L1">
        <v>98</v>
      </c>
      <c r="M1">
        <v>123</v>
      </c>
      <c r="N1">
        <v>987</v>
      </c>
      <c r="O1">
        <v>1234</v>
      </c>
      <c r="P1">
        <v>9876</v>
      </c>
    </row>
    <row r="2" spans="1:18" x14ac:dyDescent="0.2">
      <c r="A2">
        <v>0.12121212000000001</v>
      </c>
      <c r="B2" s="29">
        <f>$A2</f>
        <v>0.12121212000000001</v>
      </c>
      <c r="C2" s="29">
        <f t="shared" ref="C2:P2" si="0">$A2</f>
        <v>0.12121212000000001</v>
      </c>
      <c r="D2" s="29">
        <f t="shared" si="0"/>
        <v>0.12121212000000001</v>
      </c>
      <c r="E2" s="29">
        <f t="shared" si="0"/>
        <v>0.12121212000000001</v>
      </c>
      <c r="F2" s="29">
        <f t="shared" si="0"/>
        <v>0.12121212000000001</v>
      </c>
      <c r="G2" s="29">
        <f t="shared" si="0"/>
        <v>0.12121212000000001</v>
      </c>
      <c r="H2" s="29">
        <f t="shared" si="0"/>
        <v>0.12121212000000001</v>
      </c>
      <c r="I2" s="29">
        <f t="shared" si="0"/>
        <v>0.12121212000000001</v>
      </c>
      <c r="J2" s="29">
        <f t="shared" si="0"/>
        <v>0.12121212000000001</v>
      </c>
      <c r="K2" s="29">
        <f t="shared" si="0"/>
        <v>0.12121212000000001</v>
      </c>
      <c r="L2" s="29">
        <f t="shared" si="0"/>
        <v>0.12121212000000001</v>
      </c>
      <c r="M2" s="29">
        <f t="shared" si="0"/>
        <v>0.12121212000000001</v>
      </c>
      <c r="N2" s="29">
        <f t="shared" si="0"/>
        <v>0.12121212000000001</v>
      </c>
      <c r="O2" s="29">
        <f t="shared" si="0"/>
        <v>0.12121212000000001</v>
      </c>
      <c r="P2" s="29">
        <f t="shared" si="0"/>
        <v>0.12121212000000001</v>
      </c>
    </row>
    <row r="3" spans="1:18" x14ac:dyDescent="0.2">
      <c r="B3" s="29">
        <f>B2*B1</f>
        <v>0.12121212000000001</v>
      </c>
      <c r="C3" s="29">
        <f t="shared" ref="C3:P3" si="1">C2*C1</f>
        <v>0.24242424000000001</v>
      </c>
      <c r="D3" s="29">
        <f t="shared" si="1"/>
        <v>0.36363635999999999</v>
      </c>
      <c r="E3" s="29">
        <f t="shared" si="1"/>
        <v>0.48484848000000003</v>
      </c>
      <c r="F3" s="29">
        <f t="shared" si="1"/>
        <v>0.60606060000000006</v>
      </c>
      <c r="G3" s="29">
        <f t="shared" si="1"/>
        <v>0.72727271999999998</v>
      </c>
      <c r="H3" s="29">
        <f t="shared" si="1"/>
        <v>0.84848484000000002</v>
      </c>
      <c r="I3" s="29">
        <f t="shared" si="1"/>
        <v>0.96969696000000005</v>
      </c>
      <c r="J3" s="29">
        <f t="shared" si="1"/>
        <v>1.0909090800000001</v>
      </c>
      <c r="K3" s="29">
        <f t="shared" si="1"/>
        <v>1.45454544</v>
      </c>
      <c r="L3" s="29">
        <f t="shared" si="1"/>
        <v>11.87878776</v>
      </c>
      <c r="M3" s="29">
        <f t="shared" si="1"/>
        <v>14.909090760000002</v>
      </c>
      <c r="N3" s="29">
        <f t="shared" si="1"/>
        <v>119.63636244000001</v>
      </c>
      <c r="O3" s="29">
        <f t="shared" si="1"/>
        <v>149.57575608000002</v>
      </c>
      <c r="P3" s="29">
        <f t="shared" si="1"/>
        <v>1197.0908971200001</v>
      </c>
    </row>
    <row r="6" spans="1:18" x14ac:dyDescent="0.2">
      <c r="B6">
        <v>9876</v>
      </c>
      <c r="C6" t="s">
        <v>26</v>
      </c>
      <c r="D6" t="s">
        <v>25</v>
      </c>
      <c r="E6">
        <v>4</v>
      </c>
      <c r="F6" t="s">
        <v>29</v>
      </c>
      <c r="G6" t="s">
        <v>30</v>
      </c>
    </row>
    <row r="7" spans="1:18" x14ac:dyDescent="0.2">
      <c r="B7">
        <v>0.12121212000000001</v>
      </c>
      <c r="C7" t="s">
        <v>27</v>
      </c>
      <c r="D7" t="s">
        <v>28</v>
      </c>
      <c r="E7">
        <v>2</v>
      </c>
      <c r="F7" t="s">
        <v>31</v>
      </c>
      <c r="G7" t="s">
        <v>32</v>
      </c>
      <c r="N7">
        <v>909090909</v>
      </c>
    </row>
    <row r="8" spans="1:18" x14ac:dyDescent="0.2">
      <c r="N8">
        <v>1197</v>
      </c>
    </row>
    <row r="9" spans="1:18" x14ac:dyDescent="0.2">
      <c r="B9" s="30">
        <f>B6*B7</f>
        <v>1197.0908971200001</v>
      </c>
      <c r="N9">
        <f>N7-N8</f>
        <v>909089712</v>
      </c>
    </row>
    <row r="12" spans="1:18" x14ac:dyDescent="0.2">
      <c r="D12">
        <v>9</v>
      </c>
      <c r="E12">
        <v>8</v>
      </c>
      <c r="F12">
        <v>7</v>
      </c>
      <c r="G12">
        <v>6</v>
      </c>
    </row>
    <row r="13" spans="1:18" x14ac:dyDescent="0.2">
      <c r="P13" t="s">
        <v>38</v>
      </c>
    </row>
    <row r="14" spans="1:18" x14ac:dyDescent="0.2">
      <c r="D14">
        <v>9</v>
      </c>
      <c r="E14">
        <v>8</v>
      </c>
      <c r="F14">
        <v>7</v>
      </c>
      <c r="G14">
        <v>6</v>
      </c>
      <c r="P14" t="s">
        <v>33</v>
      </c>
      <c r="Q14" t="s">
        <v>34</v>
      </c>
      <c r="R14">
        <v>1</v>
      </c>
    </row>
    <row r="15" spans="1:18" x14ac:dyDescent="0.2">
      <c r="E15">
        <v>18</v>
      </c>
      <c r="F15">
        <v>16</v>
      </c>
      <c r="G15">
        <v>14</v>
      </c>
      <c r="H15">
        <v>12</v>
      </c>
      <c r="P15" t="s">
        <v>35</v>
      </c>
      <c r="Q15" t="s">
        <v>34</v>
      </c>
      <c r="R15">
        <v>2</v>
      </c>
    </row>
    <row r="16" spans="1:18" x14ac:dyDescent="0.2">
      <c r="F16">
        <v>9</v>
      </c>
      <c r="G16">
        <v>8</v>
      </c>
      <c r="H16">
        <v>7</v>
      </c>
      <c r="I16">
        <v>6</v>
      </c>
      <c r="P16" t="s">
        <v>36</v>
      </c>
      <c r="Q16" t="s">
        <v>37</v>
      </c>
      <c r="R16">
        <v>1</v>
      </c>
    </row>
    <row r="17" spans="3:18" x14ac:dyDescent="0.2">
      <c r="G17">
        <v>18</v>
      </c>
      <c r="H17">
        <v>16</v>
      </c>
      <c r="I17">
        <v>14</v>
      </c>
      <c r="J17">
        <v>12</v>
      </c>
      <c r="R17">
        <v>2</v>
      </c>
    </row>
    <row r="18" spans="3:18" x14ac:dyDescent="0.2">
      <c r="H18">
        <v>9</v>
      </c>
      <c r="I18">
        <v>8</v>
      </c>
      <c r="J18">
        <v>7</v>
      </c>
      <c r="K18">
        <v>6</v>
      </c>
      <c r="R18">
        <v>1</v>
      </c>
    </row>
    <row r="19" spans="3:18" x14ac:dyDescent="0.2">
      <c r="I19">
        <v>18</v>
      </c>
      <c r="J19">
        <v>16</v>
      </c>
      <c r="K19">
        <v>14</v>
      </c>
      <c r="L19">
        <v>12</v>
      </c>
      <c r="R19">
        <v>2</v>
      </c>
    </row>
    <row r="20" spans="3:18" x14ac:dyDescent="0.2">
      <c r="J20">
        <v>9</v>
      </c>
      <c r="K20">
        <v>8</v>
      </c>
      <c r="L20">
        <v>7</v>
      </c>
      <c r="M20">
        <v>6</v>
      </c>
      <c r="R20">
        <v>1</v>
      </c>
    </row>
    <row r="21" spans="3:18" x14ac:dyDescent="0.2">
      <c r="K21">
        <v>18</v>
      </c>
      <c r="L21">
        <v>16</v>
      </c>
      <c r="M21">
        <v>14</v>
      </c>
      <c r="N21">
        <v>12</v>
      </c>
      <c r="R21">
        <v>2</v>
      </c>
    </row>
    <row r="26" spans="3:18" x14ac:dyDescent="0.2">
      <c r="C26" t="s">
        <v>39</v>
      </c>
    </row>
    <row r="28" spans="3:18" x14ac:dyDescent="0.2">
      <c r="D28">
        <f>SUM(D14:D26)</f>
        <v>9</v>
      </c>
      <c r="E28">
        <f t="shared" ref="E28:N28" si="2">SUM(E14:E26)</f>
        <v>26</v>
      </c>
      <c r="F28">
        <f t="shared" si="2"/>
        <v>32</v>
      </c>
      <c r="G28">
        <f t="shared" si="2"/>
        <v>46</v>
      </c>
      <c r="H28">
        <f t="shared" si="2"/>
        <v>44</v>
      </c>
      <c r="I28">
        <f t="shared" si="2"/>
        <v>46</v>
      </c>
      <c r="J28">
        <f t="shared" si="2"/>
        <v>44</v>
      </c>
      <c r="K28">
        <f t="shared" si="2"/>
        <v>46</v>
      </c>
      <c r="L28">
        <f t="shared" si="2"/>
        <v>35</v>
      </c>
      <c r="M28">
        <f t="shared" si="2"/>
        <v>20</v>
      </c>
      <c r="N28">
        <f t="shared" si="2"/>
        <v>12</v>
      </c>
    </row>
    <row r="30" spans="3:18" x14ac:dyDescent="0.2">
      <c r="C30">
        <f>MOD(C28,10)+INT(D28/10)</f>
        <v>0</v>
      </c>
      <c r="D30">
        <f t="shared" ref="D30:N30" si="3">MOD(D28,10)+INT(E28/10)</f>
        <v>11</v>
      </c>
      <c r="E30">
        <f t="shared" si="3"/>
        <v>9</v>
      </c>
      <c r="F30">
        <f t="shared" si="3"/>
        <v>6</v>
      </c>
      <c r="G30">
        <f t="shared" si="3"/>
        <v>10</v>
      </c>
      <c r="H30">
        <f t="shared" si="3"/>
        <v>8</v>
      </c>
      <c r="I30">
        <f t="shared" si="3"/>
        <v>10</v>
      </c>
      <c r="J30">
        <f t="shared" si="3"/>
        <v>8</v>
      </c>
      <c r="K30">
        <f t="shared" si="3"/>
        <v>9</v>
      </c>
      <c r="L30">
        <f t="shared" si="3"/>
        <v>7</v>
      </c>
      <c r="M30">
        <f t="shared" si="3"/>
        <v>1</v>
      </c>
      <c r="N30">
        <f t="shared" si="3"/>
        <v>2</v>
      </c>
    </row>
    <row r="31" spans="3:18" x14ac:dyDescent="0.2">
      <c r="C31">
        <f>MOD(C30,10)+INT(D30/10)</f>
        <v>1</v>
      </c>
      <c r="D31">
        <f t="shared" ref="D31:N31" si="4">MOD(D30,10)+INT(E30/10)</f>
        <v>1</v>
      </c>
      <c r="E31">
        <f t="shared" si="4"/>
        <v>9</v>
      </c>
      <c r="F31">
        <f t="shared" si="4"/>
        <v>7</v>
      </c>
      <c r="G31">
        <f t="shared" si="4"/>
        <v>0</v>
      </c>
      <c r="H31">
        <f t="shared" si="4"/>
        <v>9</v>
      </c>
      <c r="I31">
        <f t="shared" si="4"/>
        <v>0</v>
      </c>
      <c r="J31">
        <f t="shared" si="4"/>
        <v>8</v>
      </c>
      <c r="K31">
        <f t="shared" si="4"/>
        <v>9</v>
      </c>
      <c r="L31">
        <f t="shared" si="4"/>
        <v>7</v>
      </c>
      <c r="M31">
        <f t="shared" si="4"/>
        <v>1</v>
      </c>
      <c r="N31">
        <f t="shared" si="4"/>
        <v>2</v>
      </c>
    </row>
    <row r="35" spans="3:15" x14ac:dyDescent="0.2">
      <c r="C35">
        <f>C31</f>
        <v>1</v>
      </c>
      <c r="D35">
        <f>D31</f>
        <v>1</v>
      </c>
      <c r="E35">
        <f>E31</f>
        <v>9</v>
      </c>
      <c r="F35">
        <f>F31</f>
        <v>7</v>
      </c>
    </row>
    <row r="36" spans="3:15" x14ac:dyDescent="0.2">
      <c r="G36">
        <f>G31</f>
        <v>0</v>
      </c>
      <c r="H36">
        <f>H31</f>
        <v>9</v>
      </c>
      <c r="I36">
        <f>I31</f>
        <v>0</v>
      </c>
      <c r="J36">
        <f>J31</f>
        <v>8</v>
      </c>
      <c r="K36">
        <f>K31</f>
        <v>9</v>
      </c>
      <c r="L36">
        <f>L31</f>
        <v>7</v>
      </c>
      <c r="M36">
        <f>M31</f>
        <v>1</v>
      </c>
      <c r="N36">
        <f>N31</f>
        <v>2</v>
      </c>
    </row>
    <row r="37" spans="3:15" x14ac:dyDescent="0.2">
      <c r="K37">
        <f>C35</f>
        <v>1</v>
      </c>
      <c r="L37">
        <f t="shared" ref="L37:N37" si="5">D35</f>
        <v>1</v>
      </c>
      <c r="M37">
        <f t="shared" si="5"/>
        <v>9</v>
      </c>
      <c r="N37">
        <f t="shared" si="5"/>
        <v>7</v>
      </c>
    </row>
    <row r="39" spans="3:15" x14ac:dyDescent="0.2">
      <c r="G39">
        <f t="shared" ref="G39:M39" si="6">G36-G37</f>
        <v>0</v>
      </c>
      <c r="H39">
        <f t="shared" si="6"/>
        <v>9</v>
      </c>
      <c r="I39">
        <f t="shared" si="6"/>
        <v>0</v>
      </c>
      <c r="J39">
        <f t="shared" si="6"/>
        <v>8</v>
      </c>
      <c r="K39">
        <f t="shared" si="6"/>
        <v>8</v>
      </c>
      <c r="L39">
        <f t="shared" si="6"/>
        <v>6</v>
      </c>
      <c r="M39">
        <f t="shared" si="6"/>
        <v>-8</v>
      </c>
      <c r="N39">
        <f>N36-N37</f>
        <v>-5</v>
      </c>
    </row>
    <row r="40" spans="3:15" x14ac:dyDescent="0.2">
      <c r="G40" t="b">
        <f t="shared" ref="G40:M40" si="7">G39&lt;0</f>
        <v>0</v>
      </c>
      <c r="H40" t="b">
        <f t="shared" si="7"/>
        <v>0</v>
      </c>
      <c r="I40" t="b">
        <f t="shared" si="7"/>
        <v>0</v>
      </c>
      <c r="J40" t="b">
        <f t="shared" si="7"/>
        <v>0</v>
      </c>
      <c r="K40" t="b">
        <f t="shared" si="7"/>
        <v>0</v>
      </c>
      <c r="L40" t="b">
        <f t="shared" si="7"/>
        <v>0</v>
      </c>
      <c r="M40" t="b">
        <f t="shared" si="7"/>
        <v>1</v>
      </c>
      <c r="N40" t="b">
        <f>N39&lt;0</f>
        <v>1</v>
      </c>
    </row>
    <row r="41" spans="3:15" x14ac:dyDescent="0.2">
      <c r="G41">
        <f t="shared" ref="G41:L41" si="8">IF(G40,G39+10,G39)+IF(H40,-1,0)</f>
        <v>0</v>
      </c>
      <c r="H41">
        <f t="shared" si="8"/>
        <v>9</v>
      </c>
      <c r="I41">
        <f t="shared" si="8"/>
        <v>0</v>
      </c>
      <c r="J41">
        <f t="shared" si="8"/>
        <v>8</v>
      </c>
      <c r="K41">
        <f t="shared" si="8"/>
        <v>8</v>
      </c>
      <c r="L41">
        <f t="shared" si="8"/>
        <v>5</v>
      </c>
      <c r="M41">
        <f>IF(M40,M39+10,M39)+IF(N40,-1,0)</f>
        <v>1</v>
      </c>
      <c r="N41">
        <f>IF(N40,N39+10,N39)</f>
        <v>5</v>
      </c>
    </row>
    <row r="42" spans="3:15" ht="17" thickBot="1" x14ac:dyDescent="0.25"/>
    <row r="43" spans="3:15" ht="17" thickBot="1" x14ac:dyDescent="0.25">
      <c r="C43">
        <f>SUM(C35:C36)</f>
        <v>1</v>
      </c>
      <c r="D43">
        <f t="shared" ref="D43:N43" si="9">SUM(D35:D36)</f>
        <v>1</v>
      </c>
      <c r="E43">
        <f t="shared" si="9"/>
        <v>9</v>
      </c>
      <c r="F43">
        <f t="shared" si="9"/>
        <v>7</v>
      </c>
      <c r="G43" s="33">
        <f t="shared" si="9"/>
        <v>0</v>
      </c>
      <c r="H43" s="34">
        <f t="shared" si="9"/>
        <v>9</v>
      </c>
      <c r="I43">
        <f t="shared" si="9"/>
        <v>0</v>
      </c>
      <c r="J43">
        <f t="shared" si="9"/>
        <v>8</v>
      </c>
      <c r="K43">
        <f t="shared" si="9"/>
        <v>9</v>
      </c>
      <c r="L43">
        <f t="shared" si="9"/>
        <v>7</v>
      </c>
      <c r="M43">
        <f t="shared" si="9"/>
        <v>1</v>
      </c>
      <c r="N43">
        <f t="shared" si="9"/>
        <v>2</v>
      </c>
    </row>
    <row r="44" spans="3:15" x14ac:dyDescent="0.2">
      <c r="O44" s="32"/>
    </row>
    <row r="45" spans="3:15" x14ac:dyDescent="0.2">
      <c r="G4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charles.sarr@gmail.com</dc:creator>
  <cp:lastModifiedBy>charles.sarr@gmail.com</cp:lastModifiedBy>
  <dcterms:created xsi:type="dcterms:W3CDTF">2025-05-29T21:01:03Z</dcterms:created>
  <dcterms:modified xsi:type="dcterms:W3CDTF">2025-06-05T18:58:28Z</dcterms:modified>
</cp:coreProperties>
</file>